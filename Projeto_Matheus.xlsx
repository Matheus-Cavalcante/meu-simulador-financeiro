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D9E58F7D-8141-4970-BC51-67B629C12367}" xr6:coauthVersionLast="47" xr6:coauthVersionMax="47" xr10:uidLastSave="{00000000-0000-0000-0000-000000000000}"/>
  <bookViews>
    <workbookView xWindow="10215" yWindow="0" windowWidth="13560" windowHeight="10905" tabRatio="393" xr2:uid="{AB9F19D5-43AF-46D6-A5CA-9DA20DC4354C}"/>
  </bookViews>
  <sheets>
    <sheet name="Planilha1" sheetId="1" r:id="rId1"/>
    <sheet name="Planilha2" sheetId="2" r:id="rId2"/>
  </sheets>
  <definedNames>
    <definedName name="CONFIGURAÇÕES">Planilha1!$B$12:$D$15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H5" i="2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5" i="1"/>
  <c r="C29" i="1"/>
  <c r="D29" i="1" s="1"/>
  <c r="C28" i="1"/>
  <c r="D28" i="1" s="1"/>
  <c r="C27" i="1"/>
  <c r="D27" i="1" s="1"/>
  <c r="C26" i="1"/>
  <c r="D26" i="1" s="1"/>
  <c r="C25" i="1"/>
  <c r="D25" i="1" s="1"/>
  <c r="D21" i="1"/>
  <c r="D22" i="1" s="1"/>
  <c r="D42" i="1" l="1"/>
</calcChain>
</file>

<file path=xl/sharedStrings.xml><?xml version="1.0" encoding="utf-8"?>
<sst xmlns="http://schemas.openxmlformats.org/spreadsheetml/2006/main" count="74" uniqueCount="38">
  <si>
    <t>Quanto investir por mês?</t>
  </si>
  <si>
    <t>Por quantos anos?</t>
  </si>
  <si>
    <t>Taxa de rendimento mensal?</t>
  </si>
  <si>
    <t>Quanto de pratrimônio acumulado terei?</t>
  </si>
  <si>
    <t>Quanto é os dividendos Mensais?</t>
  </si>
  <si>
    <t>INVESTIMENTO MENSAL</t>
  </si>
  <si>
    <t>Quanto em 5 anos?</t>
  </si>
  <si>
    <t>Quanto em 20 anos?</t>
  </si>
  <si>
    <t>Quanto em 10 anos?</t>
  </si>
  <si>
    <t>Quanto em 2 anos?</t>
  </si>
  <si>
    <t>Quanto em 30 anos?</t>
  </si>
  <si>
    <t>CONFIGURAÇÕES</t>
  </si>
  <si>
    <t>Salário</t>
  </si>
  <si>
    <t>Rendimento Carteira</t>
  </si>
  <si>
    <t>*quantos por cento a pessoa deveria investir do salário</t>
  </si>
  <si>
    <t>Conservador</t>
  </si>
  <si>
    <t>TIPO de FII</t>
  </si>
  <si>
    <t>Percentual sugerido</t>
  </si>
  <si>
    <t>Valores</t>
  </si>
  <si>
    <t>PAPEL</t>
  </si>
  <si>
    <t>TIJOLO</t>
  </si>
  <si>
    <t>HÍBRIDOS</t>
  </si>
  <si>
    <t>DESENVOLVIMENTO</t>
  </si>
  <si>
    <t>HOTELARIAS</t>
  </si>
  <si>
    <t>FOFs</t>
  </si>
  <si>
    <t>TOTAL</t>
  </si>
  <si>
    <t>Moderado</t>
  </si>
  <si>
    <t>Agressivo</t>
  </si>
  <si>
    <t>TIPOS DE FII</t>
  </si>
  <si>
    <t>PERFIL</t>
  </si>
  <si>
    <t>%</t>
  </si>
  <si>
    <t>CHAVE</t>
  </si>
  <si>
    <t>Moderado - TIJOLO</t>
  </si>
  <si>
    <t>Conservador - PAPEL</t>
  </si>
  <si>
    <t>Sugestão de investimento (30%)</t>
  </si>
  <si>
    <t>CENÁRIOS</t>
  </si>
  <si>
    <t>DIVIDENDOS</t>
  </si>
  <si>
    <t>Valor a ser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</si>
</sst>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8"/>
      <color theme="0"/>
      <name val="Segoe UI"/>
      <family val="2"/>
    </font>
    <font>
      <b/>
      <sz val="14"/>
      <color theme="0"/>
      <name val="Segoe UI"/>
      <family val="2"/>
    </font>
    <font>
      <b/>
      <sz val="12"/>
      <color theme="1" tint="0.14999847407452621"/>
      <name val="Segoe UI"/>
      <family val="2"/>
    </font>
    <font>
      <b/>
      <sz val="11"/>
      <color theme="1" tint="0.14999847407452621"/>
      <name val="Segoe UI"/>
      <family val="2"/>
    </font>
    <font>
      <b/>
      <sz val="14"/>
      <color theme="2"/>
      <name val="Segoe UI"/>
      <family val="2"/>
    </font>
    <font>
      <b/>
      <sz val="11"/>
      <color theme="2"/>
      <name val="Segoe UI"/>
      <family val="2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6D46"/>
        <bgColor indexed="64"/>
      </patternFill>
    </fill>
    <fill>
      <patternFill patternType="solid">
        <fgColor rgb="FF7AA089"/>
        <bgColor indexed="64"/>
      </patternFill>
    </fill>
    <fill>
      <patternFill patternType="solid">
        <fgColor rgb="FFD8E0DC"/>
        <bgColor indexed="64"/>
      </patternFill>
    </fill>
    <fill>
      <patternFill patternType="solid">
        <fgColor rgb="FF2A3B4C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AA089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7AA089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rgb="FF7AA089"/>
      </right>
      <top style="thin">
        <color rgb="FF7AA089"/>
      </top>
      <bottom style="thin">
        <color rgb="FF7AA089"/>
      </bottom>
      <diagonal/>
    </border>
    <border>
      <left style="medium">
        <color rgb="FF7AA089"/>
      </left>
      <right style="thin">
        <color rgb="FF7AA089"/>
      </right>
      <top style="thin">
        <color rgb="FF7AA089"/>
      </top>
      <bottom style="thin">
        <color rgb="FF7AA089"/>
      </bottom>
      <diagonal/>
    </border>
    <border>
      <left/>
      <right style="medium">
        <color rgb="FF7AA089"/>
      </right>
      <top style="thin">
        <color rgb="FF7AA089"/>
      </top>
      <bottom style="thin">
        <color rgb="FF7AA089"/>
      </bottom>
      <diagonal/>
    </border>
    <border>
      <left style="medium">
        <color rgb="FF7AA089"/>
      </left>
      <right style="thin">
        <color rgb="FF7AA089"/>
      </right>
      <top/>
      <bottom style="medium">
        <color indexed="64"/>
      </bottom>
      <diagonal/>
    </border>
    <border>
      <left/>
      <right style="medium">
        <color rgb="FF7AA089"/>
      </right>
      <top/>
      <bottom/>
      <diagonal/>
    </border>
    <border>
      <left style="medium">
        <color rgb="FF7AA089"/>
      </left>
      <right/>
      <top style="medium">
        <color indexed="64"/>
      </top>
      <bottom style="medium">
        <color rgb="FF7AA089"/>
      </bottom>
      <diagonal/>
    </border>
    <border>
      <left/>
      <right style="thin">
        <color rgb="FF7AA089"/>
      </right>
      <top style="medium">
        <color indexed="64"/>
      </top>
      <bottom style="medium">
        <color rgb="FF7AA089"/>
      </bottom>
      <diagonal/>
    </border>
    <border>
      <left style="medium">
        <color rgb="FF7AA089"/>
      </left>
      <right style="thin">
        <color rgb="FF7AA089"/>
      </right>
      <top/>
      <bottom style="thin">
        <color rgb="FF7AA089"/>
      </bottom>
      <diagonal/>
    </border>
    <border>
      <left/>
      <right style="thin">
        <color rgb="FF7AA089"/>
      </right>
      <top/>
      <bottom style="thin">
        <color rgb="FF7AA089"/>
      </bottom>
      <diagonal/>
    </border>
    <border>
      <left/>
      <right style="medium">
        <color rgb="FF7AA089"/>
      </right>
      <top/>
      <bottom style="thin">
        <color rgb="FF7AA089"/>
      </bottom>
      <diagonal/>
    </border>
    <border>
      <left style="medium">
        <color rgb="FF7AA089"/>
      </left>
      <right style="thin">
        <color rgb="FF7AA089"/>
      </right>
      <top style="medium">
        <color rgb="FF7AA089"/>
      </top>
      <bottom style="medium">
        <color rgb="FF7AA089"/>
      </bottom>
      <diagonal/>
    </border>
    <border>
      <left/>
      <right/>
      <top style="medium">
        <color rgb="FF7AA089"/>
      </top>
      <bottom style="medium">
        <color rgb="FF7AA089"/>
      </bottom>
      <diagonal/>
    </border>
    <border>
      <left style="thin">
        <color rgb="FF7AA089"/>
      </left>
      <right style="medium">
        <color rgb="FF7AA089"/>
      </right>
      <top style="medium">
        <color rgb="FF7AA089"/>
      </top>
      <bottom style="medium">
        <color rgb="FF7AA089"/>
      </bottom>
      <diagonal/>
    </border>
    <border>
      <left style="medium">
        <color rgb="FF7AA089"/>
      </left>
      <right/>
      <top style="medium">
        <color rgb="FF7AA089"/>
      </top>
      <bottom style="medium">
        <color rgb="FF7AA089"/>
      </bottom>
      <diagonal/>
    </border>
    <border>
      <left/>
      <right style="medium">
        <color rgb="FF7AA089"/>
      </right>
      <top style="medium">
        <color rgb="FF7AA089"/>
      </top>
      <bottom style="medium">
        <color rgb="FF7AA089"/>
      </bottom>
      <diagonal/>
    </border>
    <border>
      <left style="thin">
        <color rgb="FF7AA089"/>
      </left>
      <right/>
      <top style="medium">
        <color rgb="FF7AA089"/>
      </top>
      <bottom style="medium">
        <color rgb="FF7AA089"/>
      </bottom>
      <diagonal/>
    </border>
    <border>
      <left/>
      <right/>
      <top/>
      <bottom style="medium">
        <color rgb="FF7AA089"/>
      </bottom>
      <diagonal/>
    </border>
    <border>
      <left/>
      <right style="thin">
        <color rgb="FF7AA089"/>
      </right>
      <top style="medium">
        <color rgb="FF7AA089"/>
      </top>
      <bottom style="medium">
        <color rgb="FF7AA089"/>
      </bottom>
      <diagonal/>
    </border>
    <border>
      <left style="thin">
        <color rgb="FF7AA089"/>
      </left>
      <right style="medium">
        <color rgb="FF7AA089"/>
      </right>
      <top style="medium">
        <color indexed="64"/>
      </top>
      <bottom style="medium">
        <color rgb="FF7AA08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/>
    <xf numFmtId="0" fontId="6" fillId="0" borderId="0" xfId="0" applyFont="1"/>
    <xf numFmtId="9" fontId="0" fillId="0" borderId="0" xfId="0" applyNumberFormat="1"/>
    <xf numFmtId="9" fontId="0" fillId="0" borderId="0" xfId="0" applyNumberFormat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3" borderId="0" xfId="0" applyFill="1"/>
    <xf numFmtId="9" fontId="0" fillId="3" borderId="0" xfId="0" applyNumberFormat="1" applyFill="1"/>
    <xf numFmtId="0" fontId="5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7" fillId="0" borderId="0" xfId="0" applyFont="1"/>
    <xf numFmtId="0" fontId="5" fillId="2" borderId="0" xfId="0" applyFont="1" applyFill="1"/>
    <xf numFmtId="0" fontId="8" fillId="4" borderId="1" xfId="0" applyFont="1" applyFill="1" applyBorder="1" applyAlignment="1">
      <alignment horizontal="left" vertical="center"/>
    </xf>
    <xf numFmtId="164" fontId="11" fillId="6" borderId="11" xfId="1" applyNumberFormat="1" applyFont="1" applyFill="1" applyBorder="1"/>
    <xf numFmtId="9" fontId="11" fillId="6" borderId="7" xfId="2" applyFont="1" applyFill="1" applyBorder="1"/>
    <xf numFmtId="164" fontId="11" fillId="6" borderId="4" xfId="0" applyNumberFormat="1" applyFont="1" applyFill="1" applyBorder="1"/>
    <xf numFmtId="0" fontId="12" fillId="5" borderId="14" xfId="0" applyFont="1" applyFill="1" applyBorder="1" applyAlignment="1">
      <alignment horizontal="left" indent="3"/>
    </xf>
    <xf numFmtId="164" fontId="10" fillId="6" borderId="15" xfId="0" applyNumberFormat="1" applyFont="1" applyFill="1" applyBorder="1" applyAlignment="1">
      <alignment horizontal="center"/>
    </xf>
    <xf numFmtId="164" fontId="10" fillId="6" borderId="16" xfId="0" applyNumberFormat="1" applyFont="1" applyFill="1" applyBorder="1" applyAlignment="1">
      <alignment horizontal="center"/>
    </xf>
    <xf numFmtId="0" fontId="12" fillId="5" borderId="17" xfId="0" applyFont="1" applyFill="1" applyBorder="1" applyAlignment="1">
      <alignment horizontal="left" indent="3"/>
    </xf>
    <xf numFmtId="164" fontId="10" fillId="6" borderId="18" xfId="0" applyNumberFormat="1" applyFont="1" applyFill="1" applyBorder="1" applyAlignment="1">
      <alignment horizontal="center"/>
    </xf>
    <xf numFmtId="164" fontId="10" fillId="6" borderId="19" xfId="0" applyNumberFormat="1" applyFont="1" applyFill="1" applyBorder="1" applyAlignment="1">
      <alignment horizontal="center"/>
    </xf>
    <xf numFmtId="0" fontId="12" fillId="5" borderId="20" xfId="0" applyFont="1" applyFill="1" applyBorder="1" applyAlignment="1">
      <alignment horizontal="left" indent="3"/>
    </xf>
    <xf numFmtId="164" fontId="10" fillId="6" borderId="21" xfId="0" applyNumberFormat="1" applyFont="1" applyFill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164" fontId="11" fillId="6" borderId="25" xfId="0" applyNumberFormat="1" applyFont="1" applyFill="1" applyBorder="1"/>
    <xf numFmtId="0" fontId="11" fillId="6" borderId="19" xfId="0" applyFont="1" applyFill="1" applyBorder="1"/>
    <xf numFmtId="10" fontId="11" fillId="6" borderId="19" xfId="2" applyNumberFormat="1" applyFont="1" applyFill="1" applyBorder="1"/>
    <xf numFmtId="8" fontId="11" fillId="6" borderId="19" xfId="0" applyNumberFormat="1" applyFont="1" applyFill="1" applyBorder="1"/>
    <xf numFmtId="8" fontId="11" fillId="6" borderId="22" xfId="0" applyNumberFormat="1" applyFont="1" applyFill="1" applyBorder="1"/>
    <xf numFmtId="0" fontId="8" fillId="4" borderId="26" xfId="0" applyFont="1" applyFill="1" applyBorder="1" applyAlignment="1">
      <alignment vertical="center"/>
    </xf>
    <xf numFmtId="0" fontId="9" fillId="4" borderId="27" xfId="0" applyFont="1" applyFill="1" applyBorder="1" applyAlignment="1">
      <alignment horizontal="center"/>
    </xf>
    <xf numFmtId="0" fontId="7" fillId="0" borderId="29" xfId="0" applyFont="1" applyBorder="1"/>
    <xf numFmtId="9" fontId="3" fillId="6" borderId="28" xfId="0" applyNumberFormat="1" applyFont="1" applyFill="1" applyBorder="1"/>
    <xf numFmtId="9" fontId="3" fillId="6" borderId="30" xfId="0" applyNumberFormat="1" applyFont="1" applyFill="1" applyBorder="1"/>
    <xf numFmtId="0" fontId="4" fillId="6" borderId="31" xfId="0" applyFont="1" applyFill="1" applyBorder="1" applyAlignment="1">
      <alignment horizontal="left" indent="3"/>
    </xf>
    <xf numFmtId="164" fontId="3" fillId="6" borderId="32" xfId="0" applyNumberFormat="1" applyFont="1" applyFill="1" applyBorder="1"/>
    <xf numFmtId="0" fontId="4" fillId="6" borderId="33" xfId="0" applyFont="1" applyFill="1" applyBorder="1" applyAlignment="1">
      <alignment horizontal="left" indent="3"/>
    </xf>
    <xf numFmtId="164" fontId="3" fillId="6" borderId="34" xfId="0" applyNumberFormat="1" applyFont="1" applyFill="1" applyBorder="1"/>
    <xf numFmtId="0" fontId="5" fillId="7" borderId="35" xfId="0" applyFont="1" applyFill="1" applyBorder="1"/>
    <xf numFmtId="0" fontId="5" fillId="7" borderId="36" xfId="0" applyFont="1" applyFill="1" applyBorder="1"/>
    <xf numFmtId="0" fontId="4" fillId="6" borderId="37" xfId="0" applyFont="1" applyFill="1" applyBorder="1" applyAlignment="1">
      <alignment horizontal="left" indent="3"/>
    </xf>
    <xf numFmtId="9" fontId="3" fillId="6" borderId="38" xfId="0" applyNumberFormat="1" applyFont="1" applyFill="1" applyBorder="1"/>
    <xf numFmtId="164" fontId="3" fillId="6" borderId="39" xfId="0" applyNumberFormat="1" applyFont="1" applyFill="1" applyBorder="1"/>
    <xf numFmtId="0" fontId="7" fillId="0" borderId="34" xfId="0" applyFont="1" applyBorder="1"/>
    <xf numFmtId="0" fontId="7" fillId="0" borderId="46" xfId="0" applyFont="1" applyBorder="1"/>
    <xf numFmtId="0" fontId="13" fillId="7" borderId="44" xfId="0" applyFont="1" applyFill="1" applyBorder="1"/>
    <xf numFmtId="0" fontId="4" fillId="6" borderId="47" xfId="0" applyFont="1" applyFill="1" applyBorder="1" applyAlignment="1">
      <alignment horizontal="left" indent="3"/>
    </xf>
    <xf numFmtId="164" fontId="5" fillId="7" borderId="48" xfId="0" applyNumberFormat="1" applyFont="1" applyFill="1" applyBorder="1"/>
    <xf numFmtId="0" fontId="14" fillId="7" borderId="40" xfId="0" applyFont="1" applyFill="1" applyBorder="1"/>
    <xf numFmtId="0" fontId="14" fillId="7" borderId="41" xfId="0" applyFont="1" applyFill="1" applyBorder="1" applyAlignment="1">
      <alignment horizontal="center"/>
    </xf>
    <xf numFmtId="0" fontId="14" fillId="7" borderId="42" xfId="0" applyFont="1" applyFill="1" applyBorder="1" applyAlignment="1">
      <alignment horizontal="center"/>
    </xf>
    <xf numFmtId="0" fontId="13" fillId="7" borderId="43" xfId="0" applyFont="1" applyFill="1" applyBorder="1" applyAlignment="1">
      <alignment horizontal="center"/>
    </xf>
    <xf numFmtId="0" fontId="13" fillId="7" borderId="44" xfId="0" applyFont="1" applyFill="1" applyBorder="1" applyAlignment="1">
      <alignment horizontal="center"/>
    </xf>
    <xf numFmtId="164" fontId="3" fillId="6" borderId="45" xfId="0" applyNumberFormat="1" applyFont="1" applyFill="1" applyBorder="1" applyAlignment="1">
      <alignment horizontal="center"/>
    </xf>
    <xf numFmtId="164" fontId="3" fillId="6" borderId="44" xfId="0" applyNumberFormat="1" applyFont="1" applyFill="1" applyBorder="1" applyAlignment="1">
      <alignment horizontal="center"/>
    </xf>
    <xf numFmtId="0" fontId="12" fillId="5" borderId="6" xfId="0" applyFont="1" applyFill="1" applyBorder="1" applyAlignment="1">
      <alignment horizontal="left" indent="3"/>
    </xf>
    <xf numFmtId="0" fontId="12" fillId="5" borderId="5" xfId="0" applyFont="1" applyFill="1" applyBorder="1" applyAlignment="1">
      <alignment horizontal="left" indent="3"/>
    </xf>
    <xf numFmtId="0" fontId="8" fillId="4" borderId="1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indent="3"/>
    </xf>
    <xf numFmtId="0" fontId="12" fillId="5" borderId="24" xfId="0" applyFont="1" applyFill="1" applyBorder="1" applyAlignment="1">
      <alignment horizontal="left" indent="3"/>
    </xf>
    <xf numFmtId="0" fontId="12" fillId="5" borderId="17" xfId="0" applyFont="1" applyFill="1" applyBorder="1" applyAlignment="1">
      <alignment horizontal="left" indent="3"/>
    </xf>
    <xf numFmtId="0" fontId="12" fillId="5" borderId="18" xfId="0" applyFont="1" applyFill="1" applyBorder="1" applyAlignment="1">
      <alignment horizontal="left" indent="3"/>
    </xf>
    <xf numFmtId="0" fontId="12" fillId="5" borderId="9" xfId="0" applyFont="1" applyFill="1" applyBorder="1" applyAlignment="1">
      <alignment horizontal="left" indent="3"/>
    </xf>
    <xf numFmtId="0" fontId="12" fillId="5" borderId="13" xfId="0" applyFont="1" applyFill="1" applyBorder="1" applyAlignment="1">
      <alignment horizontal="left" indent="3"/>
    </xf>
    <xf numFmtId="0" fontId="12" fillId="5" borderId="3" xfId="0" applyFont="1" applyFill="1" applyBorder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2" fillId="5" borderId="20" xfId="0" applyFont="1" applyFill="1" applyBorder="1" applyAlignment="1">
      <alignment horizontal="left" indent="3"/>
    </xf>
    <xf numFmtId="0" fontId="12" fillId="5" borderId="21" xfId="0" applyFont="1" applyFill="1" applyBorder="1" applyAlignment="1">
      <alignment horizontal="left" indent="3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D8E0DC"/>
      <color rgb="FF7AA089"/>
      <color rgb="FF2A3B4C"/>
      <color rgb="FF717474"/>
      <color rgb="FF2E6D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Planilha1!$C$32:$C$35</c:f>
              <c:strCache>
                <c:ptCount val="4"/>
                <c:pt idx="0">
                  <c:v>Moderado</c:v>
                </c:pt>
                <c:pt idx="1">
                  <c:v>R$ 1.260,00</c:v>
                </c:pt>
                <c:pt idx="3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33-49CE-86B3-6C385FF8904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33-49CE-86B3-6C385FF890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33-49CE-86B3-6C385FF8904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33-49CE-86B3-6C385FF8904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33-49CE-86B3-6C385FF8904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33-49CE-86B3-6C385FF8904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D33-49CE-86B3-6C385FF890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Planilha1!$B$36:$B$42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  <c:pt idx="6">
                  <c:v>TOTAL</c:v>
                </c:pt>
              </c:strCache>
            </c:strRef>
          </c:cat>
          <c:val>
            <c:numRef>
              <c:f>Planilha1!$C$36:$C$42</c:f>
              <c:numCache>
                <c:formatCode>0%</c:formatCode>
                <c:ptCount val="7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D-45B4-814F-A2E6EA36608C}"/>
            </c:ext>
          </c:extLst>
        </c:ser>
        <c:ser>
          <c:idx val="1"/>
          <c:order val="1"/>
          <c:tx>
            <c:strRef>
              <c:f>Planilha1!$D$32:$D$35</c:f>
              <c:strCache>
                <c:ptCount val="4"/>
                <c:pt idx="0">
                  <c:v>Moderado</c:v>
                </c:pt>
                <c:pt idx="1">
                  <c:v>R$ 1.260,00</c:v>
                </c:pt>
                <c:pt idx="3">
                  <c:v>Valores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D33-49CE-86B3-6C385FF8904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33-49CE-86B3-6C385FF890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D33-49CE-86B3-6C385FF8904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D33-49CE-86B3-6C385FF8904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D33-49CE-86B3-6C385FF8904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D33-49CE-86B3-6C385FF8904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D33-49CE-86B3-6C385FF890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Planilha1!$B$36:$B$42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  <c:pt idx="6">
                  <c:v>TOTAL</c:v>
                </c:pt>
              </c:strCache>
            </c:strRef>
          </c:cat>
          <c:val>
            <c:numRef>
              <c:f>Planilha1!$D$36:$D$42</c:f>
              <c:numCache>
                <c:formatCode>"R$"\ #,##0.00</c:formatCode>
                <c:ptCount val="7"/>
                <c:pt idx="0">
                  <c:v>403.2</c:v>
                </c:pt>
                <c:pt idx="1">
                  <c:v>441</c:v>
                </c:pt>
                <c:pt idx="2">
                  <c:v>100.8</c:v>
                </c:pt>
                <c:pt idx="3">
                  <c:v>63</c:v>
                </c:pt>
                <c:pt idx="4">
                  <c:v>126</c:v>
                </c:pt>
                <c:pt idx="5">
                  <c:v>126</c:v>
                </c:pt>
                <c:pt idx="6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D-45B4-814F-A2E6EA36608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43</xdr:row>
      <xdr:rowOff>52387</xdr:rowOff>
    </xdr:from>
    <xdr:to>
      <xdr:col>2</xdr:col>
      <xdr:colOff>1247775</xdr:colOff>
      <xdr:row>57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9569E9-0D73-7A66-57C3-C960EE85D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11206</xdr:colOff>
      <xdr:row>0</xdr:row>
      <xdr:rowOff>112059</xdr:rowOff>
    </xdr:from>
    <xdr:to>
      <xdr:col>1</xdr:col>
      <xdr:colOff>3115235</xdr:colOff>
      <xdr:row>10</xdr:row>
      <xdr:rowOff>52294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F6F4C09-DEB8-79D6-7DA5-CE4136F1F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53" y="112059"/>
          <a:ext cx="3104029" cy="2069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E2CF-FA1C-4AC6-914F-6A8DCC495EC6}">
  <dimension ref="A11:F42"/>
  <sheetViews>
    <sheetView showGridLines="0" tabSelected="1" topLeftCell="A10" zoomScale="85" zoomScaleNormal="85" workbookViewId="0">
      <selection activeCell="D20" sqref="D20"/>
    </sheetView>
  </sheetViews>
  <sheetFormatPr defaultRowHeight="16.5" x14ac:dyDescent="0.3"/>
  <cols>
    <col min="1" max="1" width="4.140625" style="11" customWidth="1"/>
    <col min="2" max="2" width="49.42578125" style="11" bestFit="1" customWidth="1"/>
    <col min="3" max="3" width="26.7109375" style="11" customWidth="1"/>
    <col min="4" max="4" width="19.42578125" style="11" bestFit="1" customWidth="1"/>
    <col min="5" max="16384" width="9.140625" style="11"/>
  </cols>
  <sheetData>
    <row r="11" spans="2:5" ht="17.25" thickBot="1" x14ac:dyDescent="0.35"/>
    <row r="12" spans="2:5" ht="24" customHeight="1" x14ac:dyDescent="0.3">
      <c r="B12" s="59" t="s">
        <v>11</v>
      </c>
      <c r="C12" s="60"/>
      <c r="D12" s="9"/>
    </row>
    <row r="13" spans="2:5" ht="20.25" x14ac:dyDescent="0.35">
      <c r="B13" s="65" t="s">
        <v>12</v>
      </c>
      <c r="C13" s="66"/>
      <c r="D13" s="14">
        <v>500</v>
      </c>
    </row>
    <row r="14" spans="2:5" ht="20.25" x14ac:dyDescent="0.35">
      <c r="B14" s="57" t="s">
        <v>13</v>
      </c>
      <c r="C14" s="58"/>
      <c r="D14" s="15">
        <v>0.01</v>
      </c>
    </row>
    <row r="15" spans="2:5" ht="21" thickBot="1" x14ac:dyDescent="0.4">
      <c r="B15" s="67" t="s">
        <v>34</v>
      </c>
      <c r="C15" s="68"/>
      <c r="D15" s="16">
        <f>D13*30%</f>
        <v>150</v>
      </c>
      <c r="E15" s="3" t="s">
        <v>14</v>
      </c>
    </row>
    <row r="16" spans="2:5" ht="17.25" thickBot="1" x14ac:dyDescent="0.35"/>
    <row r="17" spans="1:6" ht="26.25" x14ac:dyDescent="0.3">
      <c r="B17" s="59" t="s">
        <v>5</v>
      </c>
      <c r="C17" s="60"/>
      <c r="D17" s="10"/>
    </row>
    <row r="18" spans="1:6" ht="17.25" customHeight="1" x14ac:dyDescent="0.35">
      <c r="B18" s="61" t="s">
        <v>0</v>
      </c>
      <c r="C18" s="62"/>
      <c r="D18" s="26">
        <v>750</v>
      </c>
    </row>
    <row r="19" spans="1:6" ht="16.5" customHeight="1" x14ac:dyDescent="0.35">
      <c r="B19" s="63" t="s">
        <v>1</v>
      </c>
      <c r="C19" s="64"/>
      <c r="D19" s="27">
        <v>5</v>
      </c>
    </row>
    <row r="20" spans="1:6" ht="16.5" customHeight="1" x14ac:dyDescent="0.35">
      <c r="B20" s="63" t="s">
        <v>2</v>
      </c>
      <c r="C20" s="64"/>
      <c r="D20" s="28">
        <v>1.0789999999999999E-2</v>
      </c>
    </row>
    <row r="21" spans="1:6" ht="16.5" customHeight="1" x14ac:dyDescent="0.35">
      <c r="B21" s="63" t="s">
        <v>3</v>
      </c>
      <c r="C21" s="64"/>
      <c r="D21" s="29">
        <f>FV(D20,D19*12,D18)*-1</f>
        <v>62832.685498865736</v>
      </c>
    </row>
    <row r="22" spans="1:6" ht="17.25" customHeight="1" thickBot="1" x14ac:dyDescent="0.4">
      <c r="B22" s="69" t="s">
        <v>4</v>
      </c>
      <c r="C22" s="70"/>
      <c r="D22" s="30">
        <f>D21*$D$14</f>
        <v>628.32685498865737</v>
      </c>
    </row>
    <row r="23" spans="1:6" ht="17.25" thickBot="1" x14ac:dyDescent="0.35"/>
    <row r="24" spans="1:6" ht="26.25" x14ac:dyDescent="0.35">
      <c r="B24" s="13" t="s">
        <v>35</v>
      </c>
      <c r="C24" s="31"/>
      <c r="D24" s="32" t="s">
        <v>36</v>
      </c>
    </row>
    <row r="25" spans="1:6" ht="21" thickBot="1" x14ac:dyDescent="0.4">
      <c r="A25" s="12">
        <v>2</v>
      </c>
      <c r="B25" s="17" t="s">
        <v>9</v>
      </c>
      <c r="C25" s="18">
        <f>FV($D$20,A$25*12,$D$18)*-1</f>
        <v>20420.720473233912</v>
      </c>
      <c r="D25" s="19">
        <f>C25*$D$14</f>
        <v>204.20720473233914</v>
      </c>
    </row>
    <row r="26" spans="1:6" ht="21.75" thickTop="1" thickBot="1" x14ac:dyDescent="0.4">
      <c r="A26" s="12">
        <v>5</v>
      </c>
      <c r="B26" s="20" t="s">
        <v>6</v>
      </c>
      <c r="C26" s="21">
        <f>FV($D$20,A$26*12,$D$18)*-1</f>
        <v>62832.685498865736</v>
      </c>
      <c r="D26" s="22">
        <f>C26*$D$14</f>
        <v>628.32685498865737</v>
      </c>
      <c r="F26" s="33"/>
    </row>
    <row r="27" spans="1:6" ht="21" thickTop="1" x14ac:dyDescent="0.35">
      <c r="A27" s="12">
        <v>10</v>
      </c>
      <c r="B27" s="20" t="s">
        <v>8</v>
      </c>
      <c r="C27" s="21">
        <f>FV($D$20,A$27*12,$D$18)*-1</f>
        <v>182463.15939762915</v>
      </c>
      <c r="D27" s="22">
        <f>C27*$D$14</f>
        <v>1824.6315939762915</v>
      </c>
    </row>
    <row r="28" spans="1:6" ht="20.25" x14ac:dyDescent="0.35">
      <c r="A28" s="12">
        <v>20</v>
      </c>
      <c r="B28" s="20" t="s">
        <v>7</v>
      </c>
      <c r="C28" s="21">
        <f>FV($D$20,A$28*12,$D$18)*-1</f>
        <v>843898.8000728105</v>
      </c>
      <c r="D28" s="22">
        <f>C28*$D$14</f>
        <v>8438.9880007281045</v>
      </c>
    </row>
    <row r="29" spans="1:6" ht="21" thickBot="1" x14ac:dyDescent="0.4">
      <c r="A29" s="12">
        <v>30</v>
      </c>
      <c r="B29" s="23" t="s">
        <v>10</v>
      </c>
      <c r="C29" s="24">
        <f>FV($D$20,A$29*12,$D$18)*-1</f>
        <v>3241627.2412535357</v>
      </c>
      <c r="D29" s="25">
        <f>C29*$D$14</f>
        <v>32416.27241253536</v>
      </c>
    </row>
    <row r="31" spans="1:6" ht="17.25" thickBot="1" x14ac:dyDescent="0.35"/>
    <row r="32" spans="1:6" ht="17.25" thickBot="1" x14ac:dyDescent="0.35">
      <c r="A32" s="45"/>
      <c r="B32" s="47" t="s">
        <v>29</v>
      </c>
      <c r="C32" s="53" t="s">
        <v>26</v>
      </c>
      <c r="D32" s="54"/>
    </row>
    <row r="33" spans="1:4" ht="18" thickBot="1" x14ac:dyDescent="0.35">
      <c r="A33" s="45"/>
      <c r="B33" s="48" t="s">
        <v>37</v>
      </c>
      <c r="C33" s="55">
        <v>1260</v>
      </c>
      <c r="D33" s="56"/>
    </row>
    <row r="34" spans="1:4" ht="17.25" thickBot="1" x14ac:dyDescent="0.35">
      <c r="B34" s="46"/>
      <c r="C34" s="46"/>
      <c r="D34" s="46"/>
    </row>
    <row r="35" spans="1:4" ht="17.25" thickBot="1" x14ac:dyDescent="0.35">
      <c r="B35" s="50" t="s">
        <v>16</v>
      </c>
      <c r="C35" s="51" t="s">
        <v>17</v>
      </c>
      <c r="D35" s="52" t="s">
        <v>18</v>
      </c>
    </row>
    <row r="36" spans="1:4" ht="17.25" x14ac:dyDescent="0.3">
      <c r="B36" s="42" t="s">
        <v>19</v>
      </c>
      <c r="C36" s="43">
        <f>VLOOKUP($C$32&amp;" - "&amp;B36,Planilha2!$A:$D,4,FALSE)</f>
        <v>0.32</v>
      </c>
      <c r="D36" s="44">
        <f>C36*$C$33</f>
        <v>403.2</v>
      </c>
    </row>
    <row r="37" spans="1:4" ht="17.25" x14ac:dyDescent="0.3">
      <c r="B37" s="36" t="s">
        <v>20</v>
      </c>
      <c r="C37" s="35">
        <f>VLOOKUP($C$32&amp;" - "&amp;B37,Planilha2!$A:$D,4,FALSE)</f>
        <v>0.35</v>
      </c>
      <c r="D37" s="37">
        <f t="shared" ref="D37:D41" si="0">C37*$C$33</f>
        <v>441</v>
      </c>
    </row>
    <row r="38" spans="1:4" ht="17.25" x14ac:dyDescent="0.3">
      <c r="B38" s="36" t="s">
        <v>21</v>
      </c>
      <c r="C38" s="35">
        <f>VLOOKUP($C$32&amp;" - "&amp;B38,Planilha2!$A:$D,4,FALSE)</f>
        <v>0.08</v>
      </c>
      <c r="D38" s="37">
        <f t="shared" si="0"/>
        <v>100.8</v>
      </c>
    </row>
    <row r="39" spans="1:4" ht="17.25" x14ac:dyDescent="0.3">
      <c r="B39" s="36" t="s">
        <v>24</v>
      </c>
      <c r="C39" s="35">
        <f>VLOOKUP($C$32&amp;" - "&amp;B39,Planilha2!$A:$D,4,FALSE)</f>
        <v>0.05</v>
      </c>
      <c r="D39" s="37">
        <f t="shared" si="0"/>
        <v>63</v>
      </c>
    </row>
    <row r="40" spans="1:4" ht="17.25" x14ac:dyDescent="0.3">
      <c r="B40" s="36" t="s">
        <v>22</v>
      </c>
      <c r="C40" s="35">
        <f>VLOOKUP($C$32&amp;" - "&amp;B40,Planilha2!$A:$D,4,FALSE)</f>
        <v>0.1</v>
      </c>
      <c r="D40" s="37">
        <f t="shared" si="0"/>
        <v>126</v>
      </c>
    </row>
    <row r="41" spans="1:4" ht="18" thickBot="1" x14ac:dyDescent="0.35">
      <c r="B41" s="38" t="s">
        <v>23</v>
      </c>
      <c r="C41" s="34">
        <f>VLOOKUP($C$32&amp;" - "&amp;B41,Planilha2!$A:$D,4,FALSE)</f>
        <v>0.1</v>
      </c>
      <c r="D41" s="39">
        <f t="shared" si="0"/>
        <v>126</v>
      </c>
    </row>
    <row r="42" spans="1:4" ht="17.25" thickBot="1" x14ac:dyDescent="0.35">
      <c r="B42" s="40" t="s">
        <v>25</v>
      </c>
      <c r="C42" s="41"/>
      <c r="D42" s="49">
        <f>SUM(D36:D41)</f>
        <v>1260</v>
      </c>
    </row>
  </sheetData>
  <mergeCells count="12">
    <mergeCell ref="C32:D32"/>
    <mergeCell ref="C33:D33"/>
    <mergeCell ref="B14:C14"/>
    <mergeCell ref="B12:C12"/>
    <mergeCell ref="B17:C17"/>
    <mergeCell ref="B18:C18"/>
    <mergeCell ref="B19:C19"/>
    <mergeCell ref="B20:C20"/>
    <mergeCell ref="B21:C21"/>
    <mergeCell ref="B13:C13"/>
    <mergeCell ref="B15:C15"/>
    <mergeCell ref="B22:C22"/>
  </mergeCells>
  <dataValidations disablePrompts="1" count="1">
    <dataValidation type="list" allowBlank="1" showInputMessage="1" showErrorMessage="1" sqref="C32" xr:uid="{2956249A-5384-4713-93F4-5654B8CBFC6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F978-4789-42D4-9541-786A75849F25}">
  <dimension ref="A2:H20"/>
  <sheetViews>
    <sheetView workbookViewId="0">
      <selection activeCell="D13" sqref="D13"/>
    </sheetView>
  </sheetViews>
  <sheetFormatPr defaultRowHeight="15" x14ac:dyDescent="0.25"/>
  <cols>
    <col min="1" max="1" width="32.140625" bestFit="1" customWidth="1"/>
    <col min="2" max="2" width="12.140625" bestFit="1" customWidth="1"/>
    <col min="3" max="3" width="19" bestFit="1" customWidth="1"/>
    <col min="4" max="4" width="9.140625" style="1"/>
    <col min="7" max="7" width="18" bestFit="1" customWidth="1"/>
    <col min="8" max="8" width="9.140625" style="4"/>
  </cols>
  <sheetData>
    <row r="2" spans="1:8" x14ac:dyDescent="0.25">
      <c r="A2" t="s">
        <v>31</v>
      </c>
      <c r="B2" t="s">
        <v>29</v>
      </c>
      <c r="C2" t="s">
        <v>28</v>
      </c>
      <c r="D2" s="1" t="s">
        <v>30</v>
      </c>
    </row>
    <row r="3" spans="1:8" x14ac:dyDescent="0.25">
      <c r="A3" t="str">
        <f>B3&amp;" - "&amp;C3</f>
        <v>Conservador - PAPEL</v>
      </c>
      <c r="B3" t="s">
        <v>15</v>
      </c>
      <c r="C3" t="s">
        <v>19</v>
      </c>
      <c r="D3" s="5">
        <v>0.3</v>
      </c>
      <c r="H3" s="4" t="s">
        <v>30</v>
      </c>
    </row>
    <row r="4" spans="1:8" x14ac:dyDescent="0.25">
      <c r="A4" t="str">
        <f t="shared" ref="A4:A20" si="0">B4&amp;" - "&amp;C4</f>
        <v>Conservador - TIJOLO</v>
      </c>
      <c r="B4" t="s">
        <v>15</v>
      </c>
      <c r="C4" t="s">
        <v>20</v>
      </c>
      <c r="D4" s="5">
        <v>0.5</v>
      </c>
      <c r="G4" s="7" t="s">
        <v>32</v>
      </c>
      <c r="H4" s="8">
        <f>VLOOKUP(G4,$A:$D,4,FALSE)</f>
        <v>0.35</v>
      </c>
    </row>
    <row r="5" spans="1:8" x14ac:dyDescent="0.25">
      <c r="A5" t="str">
        <f t="shared" si="0"/>
        <v>Conservador - HÍBRIDOS</v>
      </c>
      <c r="B5" t="s">
        <v>15</v>
      </c>
      <c r="C5" t="s">
        <v>21</v>
      </c>
      <c r="D5" s="5">
        <v>0.1</v>
      </c>
      <c r="G5" t="s">
        <v>33</v>
      </c>
      <c r="H5" s="4">
        <f>VLOOKUP(G5,A:D,4,FALSE)</f>
        <v>0.3</v>
      </c>
    </row>
    <row r="6" spans="1:8" x14ac:dyDescent="0.25">
      <c r="A6" t="str">
        <f t="shared" si="0"/>
        <v>Conservador - FOFs</v>
      </c>
      <c r="B6" t="s">
        <v>15</v>
      </c>
      <c r="C6" t="s">
        <v>24</v>
      </c>
      <c r="D6" s="5">
        <v>0.1</v>
      </c>
    </row>
    <row r="7" spans="1:8" x14ac:dyDescent="0.25">
      <c r="A7" t="str">
        <f t="shared" si="0"/>
        <v>Conservador - DESENVOLVIMENTO</v>
      </c>
      <c r="B7" t="s">
        <v>15</v>
      </c>
      <c r="C7" t="s">
        <v>22</v>
      </c>
      <c r="D7" s="5">
        <v>0</v>
      </c>
    </row>
    <row r="8" spans="1:8" ht="15.75" thickBot="1" x14ac:dyDescent="0.3">
      <c r="A8" s="2" t="str">
        <f t="shared" si="0"/>
        <v>Conservador - HOTELARIAS</v>
      </c>
      <c r="B8" s="2" t="s">
        <v>15</v>
      </c>
      <c r="C8" s="2" t="s">
        <v>23</v>
      </c>
      <c r="D8" s="6">
        <v>0</v>
      </c>
    </row>
    <row r="9" spans="1:8" x14ac:dyDescent="0.25">
      <c r="A9" t="str">
        <f t="shared" si="0"/>
        <v>Moderado - PAPEL</v>
      </c>
      <c r="B9" t="s">
        <v>26</v>
      </c>
      <c r="C9" t="s">
        <v>19</v>
      </c>
      <c r="D9" s="5">
        <v>0.32</v>
      </c>
    </row>
    <row r="10" spans="1:8" x14ac:dyDescent="0.25">
      <c r="A10" t="str">
        <f t="shared" si="0"/>
        <v>Moderado - TIJOLO</v>
      </c>
      <c r="B10" t="s">
        <v>26</v>
      </c>
      <c r="C10" t="s">
        <v>20</v>
      </c>
      <c r="D10" s="5">
        <v>0.35</v>
      </c>
    </row>
    <row r="11" spans="1:8" x14ac:dyDescent="0.25">
      <c r="A11" t="str">
        <f t="shared" si="0"/>
        <v>Moderado - HÍBRIDOS</v>
      </c>
      <c r="B11" t="s">
        <v>26</v>
      </c>
      <c r="C11" t="s">
        <v>21</v>
      </c>
      <c r="D11" s="5">
        <v>0.08</v>
      </c>
    </row>
    <row r="12" spans="1:8" x14ac:dyDescent="0.25">
      <c r="A12" t="str">
        <f t="shared" si="0"/>
        <v>Moderado - FOFs</v>
      </c>
      <c r="B12" t="s">
        <v>26</v>
      </c>
      <c r="C12" t="s">
        <v>24</v>
      </c>
      <c r="D12" s="5">
        <v>0.05</v>
      </c>
    </row>
    <row r="13" spans="1:8" x14ac:dyDescent="0.25">
      <c r="A13" t="str">
        <f t="shared" si="0"/>
        <v>Moderado - DESENVOLVIMENTO</v>
      </c>
      <c r="B13" t="s">
        <v>26</v>
      </c>
      <c r="C13" t="s">
        <v>22</v>
      </c>
      <c r="D13" s="5">
        <v>0.1</v>
      </c>
    </row>
    <row r="14" spans="1:8" ht="15.75" thickBot="1" x14ac:dyDescent="0.3">
      <c r="A14" s="2" t="str">
        <f t="shared" si="0"/>
        <v>Moderado - HOTELARIAS</v>
      </c>
      <c r="B14" s="2" t="s">
        <v>26</v>
      </c>
      <c r="C14" s="2" t="s">
        <v>23</v>
      </c>
      <c r="D14" s="6">
        <v>0.1</v>
      </c>
    </row>
    <row r="15" spans="1:8" x14ac:dyDescent="0.25">
      <c r="A15" t="str">
        <f t="shared" si="0"/>
        <v>Agressivo - PAPEL</v>
      </c>
      <c r="B15" t="s">
        <v>27</v>
      </c>
      <c r="C15" t="s">
        <v>19</v>
      </c>
      <c r="D15" s="5">
        <v>0.5</v>
      </c>
    </row>
    <row r="16" spans="1:8" x14ac:dyDescent="0.25">
      <c r="A16" t="str">
        <f t="shared" si="0"/>
        <v>Agressivo - TIJOLO</v>
      </c>
      <c r="B16" t="s">
        <v>27</v>
      </c>
      <c r="C16" t="s">
        <v>20</v>
      </c>
      <c r="D16" s="5">
        <v>0.1</v>
      </c>
    </row>
    <row r="17" spans="1:4" x14ac:dyDescent="0.25">
      <c r="A17" t="str">
        <f t="shared" si="0"/>
        <v>Agressivo - HÍBRIDOS</v>
      </c>
      <c r="B17" t="s">
        <v>27</v>
      </c>
      <c r="C17" t="s">
        <v>21</v>
      </c>
      <c r="D17" s="5">
        <v>0.05</v>
      </c>
    </row>
    <row r="18" spans="1:4" x14ac:dyDescent="0.25">
      <c r="A18" t="str">
        <f t="shared" si="0"/>
        <v>Agressivo - FOFs</v>
      </c>
      <c r="B18" t="s">
        <v>27</v>
      </c>
      <c r="C18" t="s">
        <v>24</v>
      </c>
      <c r="D18" s="5">
        <v>0.05</v>
      </c>
    </row>
    <row r="19" spans="1:4" x14ac:dyDescent="0.25">
      <c r="A19" t="str">
        <f t="shared" si="0"/>
        <v>Agressivo - DESENVOLVIMENTO</v>
      </c>
      <c r="B19" t="s">
        <v>27</v>
      </c>
      <c r="C19" t="s">
        <v>22</v>
      </c>
      <c r="D19" s="5">
        <v>0.2</v>
      </c>
    </row>
    <row r="20" spans="1:4" x14ac:dyDescent="0.25">
      <c r="A20" t="str">
        <f t="shared" si="0"/>
        <v>Agressivo - HOTELARIAS</v>
      </c>
      <c r="B20" t="s">
        <v>27</v>
      </c>
      <c r="C20" t="s">
        <v>23</v>
      </c>
      <c r="D20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Pedro Cavalcante</dc:creator>
  <cp:lastModifiedBy>Matheus Cavalcante Viana</cp:lastModifiedBy>
  <dcterms:created xsi:type="dcterms:W3CDTF">2025-11-04T18:05:22Z</dcterms:created>
  <dcterms:modified xsi:type="dcterms:W3CDTF">2025-11-07T17:45:00Z</dcterms:modified>
</cp:coreProperties>
</file>